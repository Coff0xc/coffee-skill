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ource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BillingExceptions" displayName="RawBillingExceptions" ref="A1:G8" headerRowCount="1">
  <autoFilter ref="A1:G8"/>
  <tableColumns count="7">
    <tableColumn id="1" name="invoice_id"/>
    <tableColumn id="2" name="region"/>
    <tableColumn id="3" name="invoice_date"/>
    <tableColumn id="4" name="amount"/>
    <tableColumn id="5" name="exception_type"/>
    <tableColumn id="6" name="review_hours"/>
    <tableColumn id="7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lBillingExceptions" displayName="ModelBillingExceptions" ref="A1:K8" headerRowCount="1">
  <autoFilter ref="A1:K8"/>
  <tableColumns count="11">
    <tableColumn id="1" name="invoice_id"/>
    <tableColumn id="2" name="region"/>
    <tableColumn id="3" name="invoice_date"/>
    <tableColumn id="4" name="amount"/>
    <tableColumn id="5" name="exception_type"/>
    <tableColumn id="6" name="review_hours"/>
    <tableColumn id="7" name="status"/>
    <tableColumn id="8" name="normalized_date"/>
    <tableColumn id="9" name="parsed_amount"/>
    <tableColumn id="10" name="duplicate_flag"/>
    <tableColumn id="11" name="quality_fla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Billing Exceptions Dashboard</t>
        </is>
      </c>
      <c r="B1" s="1" t="n"/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parsed amount</t>
        </is>
      </c>
      <c r="B4">
        <f>SUM(Model!I2:I8)</f>
        <v/>
      </c>
    </row>
    <row r="5">
      <c r="A5" t="inlineStr">
        <is>
          <t>Open or escalated rows</t>
        </is>
      </c>
      <c r="B5">
        <f>COUNTIFS(Model!G2:G8,"open")+COUNTIFS(Model!G2:G8,"escalated")</f>
        <v/>
      </c>
    </row>
    <row r="6">
      <c r="A6" t="inlineStr">
        <is>
          <t>Tax-code rows</t>
        </is>
      </c>
      <c r="B6">
        <f>COUNTIFS(Model!E2:E8,"Tax Code")</f>
        <v/>
      </c>
    </row>
    <row r="7">
      <c r="A7" t="inlineStr">
        <is>
          <t>West rows</t>
        </is>
      </c>
      <c r="B7">
        <f>COUNTIFS(Model!B2:B8,"West")</f>
        <v/>
      </c>
    </row>
    <row r="8">
      <c r="A8" t="inlineStr">
        <is>
          <t>West tax-code rows</t>
        </is>
      </c>
      <c r="B8">
        <f>COUNTIFS(Model!B2:B8,"West",Model!E2:E8,"Tax Code")</f>
        <v/>
      </c>
    </row>
    <row r="9">
      <c r="A9" t="inlineStr">
        <is>
          <t>West tax-code amount</t>
        </is>
      </c>
      <c r="B9">
        <f>SUMIFS(Model!I2:I8,Model!B2:B8,"West",Model!E2:E8,"Tax Code")</f>
        <v/>
      </c>
    </row>
    <row r="10">
      <c r="A10" t="inlineStr">
        <is>
          <t>Open amount</t>
        </is>
      </c>
      <c r="B10">
        <f>SUMIFS(Model!I2:I8,Model!G2:G8,"open")</f>
        <v/>
      </c>
    </row>
    <row r="11">
      <c r="A11" t="inlineStr">
        <is>
          <t>Exception type</t>
        </is>
      </c>
      <c r="B11" t="inlineStr">
        <is>
          <t>Rows</t>
        </is>
      </c>
    </row>
    <row r="12">
      <c r="A12" t="inlineStr">
        <is>
          <t>Tax Code</t>
        </is>
      </c>
      <c r="B12" t="n">
        <v>3</v>
      </c>
    </row>
    <row r="13">
      <c r="A13" t="inlineStr">
        <is>
          <t>Missing PO</t>
        </is>
      </c>
      <c r="B13" t="n">
        <v>2</v>
      </c>
    </row>
    <row r="14">
      <c r="A14" t="inlineStr">
        <is>
          <t>Address Normalization</t>
        </is>
      </c>
      <c r="B14" t="n">
        <v>1</v>
      </c>
    </row>
    <row r="15">
      <c r="A15" t="inlineStr">
        <is>
          <t>Other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invoice_id</t>
        </is>
      </c>
      <c r="B1" s="1" t="inlineStr">
        <is>
          <t>region</t>
        </is>
      </c>
      <c r="C1" s="1" t="inlineStr">
        <is>
          <t>invoice_date</t>
        </is>
      </c>
      <c r="D1" s="1" t="inlineStr">
        <is>
          <t>amount</t>
        </is>
      </c>
      <c r="E1" s="1" t="inlineStr">
        <is>
          <t>exception_type</t>
        </is>
      </c>
      <c r="F1" s="1" t="inlineStr">
        <is>
          <t>review_hours</t>
        </is>
      </c>
      <c r="G1" s="1" t="inlineStr">
        <is>
          <t>status</t>
        </is>
      </c>
    </row>
    <row r="2">
      <c r="A2" t="inlineStr">
        <is>
          <t>INV-1001</t>
        </is>
      </c>
      <c r="B2" t="inlineStr">
        <is>
          <t>West</t>
        </is>
      </c>
      <c r="C2" t="inlineStr">
        <is>
          <t>2026-04-02</t>
        </is>
      </c>
      <c r="D2" t="inlineStr">
        <is>
          <t>$1,240.50</t>
        </is>
      </c>
      <c r="E2" t="inlineStr">
        <is>
          <t>Tax Code</t>
        </is>
      </c>
      <c r="F2" t="inlineStr">
        <is>
          <t>2.5</t>
        </is>
      </c>
      <c r="G2" t="inlineStr">
        <is>
          <t>open</t>
        </is>
      </c>
    </row>
    <row r="3">
      <c r="A3" t="inlineStr">
        <is>
          <t>INV-1002</t>
        </is>
      </c>
      <c r="B3" t="inlineStr">
        <is>
          <t>East</t>
        </is>
      </c>
      <c r="C3" t="inlineStr">
        <is>
          <t>04/03/2026</t>
        </is>
      </c>
      <c r="D3" t="inlineStr">
        <is>
          <t>980.00</t>
        </is>
      </c>
      <c r="E3" t="inlineStr">
        <is>
          <t>Missing PO</t>
        </is>
      </c>
      <c r="F3" t="inlineStr">
        <is>
          <t>1.25</t>
        </is>
      </c>
      <c r="G3" t="inlineStr">
        <is>
          <t>closed</t>
        </is>
      </c>
    </row>
    <row r="4">
      <c r="A4" t="inlineStr">
        <is>
          <t>INV-1003</t>
        </is>
      </c>
      <c r="B4" t="inlineStr">
        <is>
          <t>West</t>
        </is>
      </c>
      <c r="C4" t="inlineStr">
        <is>
          <t>2026/04/05</t>
        </is>
      </c>
      <c r="D4" t="inlineStr">
        <is>
          <t>$1,240.50</t>
        </is>
      </c>
      <c r="E4" t="inlineStr">
        <is>
          <t>Tax Code</t>
        </is>
      </c>
      <c r="F4" t="inlineStr">
        <is>
          <t>2.0</t>
        </is>
      </c>
      <c r="G4" t="inlineStr">
        <is>
          <t>open</t>
        </is>
      </c>
    </row>
    <row r="5">
      <c r="A5" t="inlineStr">
        <is>
          <t>INV-1003</t>
        </is>
      </c>
      <c r="B5" t="inlineStr">
        <is>
          <t>West</t>
        </is>
      </c>
      <c r="C5" t="inlineStr">
        <is>
          <t>2026/04/05</t>
        </is>
      </c>
      <c r="D5" t="inlineStr">
        <is>
          <t>$1,240.50</t>
        </is>
      </c>
      <c r="E5" t="inlineStr">
        <is>
          <t>Tax Code</t>
        </is>
      </c>
      <c r="F5" t="inlineStr">
        <is>
          <t>2.0</t>
        </is>
      </c>
      <c r="G5" t="inlineStr">
        <is>
          <t>open</t>
        </is>
      </c>
    </row>
    <row r="6">
      <c r="A6" t="inlineStr">
        <is>
          <t>INV-1004</t>
        </is>
      </c>
      <c r="B6" t="inlineStr">
        <is>
          <t>South</t>
        </is>
      </c>
      <c r="C6" t="inlineStr">
        <is>
          <t>not available</t>
        </is>
      </c>
      <c r="D6" t="inlineStr"/>
      <c r="E6" t="inlineStr">
        <is>
          <t>Address Normalization</t>
        </is>
      </c>
      <c r="F6" t="inlineStr"/>
      <c r="G6" t="inlineStr">
        <is>
          <t>open</t>
        </is>
      </c>
    </row>
    <row r="7">
      <c r="A7" t="inlineStr">
        <is>
          <t>INV-1005</t>
        </is>
      </c>
      <c r="B7" t="inlineStr">
        <is>
          <t>North</t>
        </is>
      </c>
      <c r="C7" t="inlineStr">
        <is>
          <t>2026-06-30</t>
        </is>
      </c>
      <c r="D7" t="inlineStr">
        <is>
          <t>12,400</t>
        </is>
      </c>
      <c r="E7" t="inlineStr">
        <is>
          <t>Missing PO</t>
        </is>
      </c>
      <c r="F7" t="inlineStr">
        <is>
          <t>7.5</t>
        </is>
      </c>
      <c r="G7" t="inlineStr">
        <is>
          <t>escalated</t>
        </is>
      </c>
    </row>
    <row r="8">
      <c r="A8" t="inlineStr">
        <is>
          <t>INV-1006</t>
        </is>
      </c>
      <c r="B8" t="inlineStr">
        <is>
          <t>West</t>
        </is>
      </c>
      <c r="C8" t="inlineStr">
        <is>
          <t>2026-06-30</t>
        </is>
      </c>
      <c r="D8" t="inlineStr">
        <is>
          <t>-45.00</t>
        </is>
      </c>
      <c r="E8" t="inlineStr">
        <is>
          <t>Tax Code</t>
        </is>
      </c>
      <c r="F8" t="inlineStr">
        <is>
          <t>0.5</t>
        </is>
      </c>
      <c r="G8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invoice_id</t>
        </is>
      </c>
      <c r="B2" t="inlineStr">
        <is>
          <t>Source CSV column</t>
        </is>
      </c>
    </row>
    <row r="3">
      <c r="A3" t="inlineStr">
        <is>
          <t>region</t>
        </is>
      </c>
      <c r="B3" t="inlineStr">
        <is>
          <t>Source CSV column</t>
        </is>
      </c>
    </row>
    <row r="4">
      <c r="A4" t="inlineStr">
        <is>
          <t>invoice_date</t>
        </is>
      </c>
      <c r="B4" t="inlineStr">
        <is>
          <t>Source CSV column</t>
        </is>
      </c>
    </row>
    <row r="5">
      <c r="A5" t="inlineStr">
        <is>
          <t>amount</t>
        </is>
      </c>
      <c r="B5" t="inlineStr">
        <is>
          <t>Source CSV column</t>
        </is>
      </c>
    </row>
    <row r="6">
      <c r="A6" t="inlineStr">
        <is>
          <t>exception_type</t>
        </is>
      </c>
      <c r="B6" t="inlineStr">
        <is>
          <t>Source CSV column</t>
        </is>
      </c>
    </row>
    <row r="7">
      <c r="A7" t="inlineStr">
        <is>
          <t>review_hours</t>
        </is>
      </c>
      <c r="B7" t="inlineStr">
        <is>
          <t>Source CSV column</t>
        </is>
      </c>
    </row>
    <row r="8">
      <c r="A8" t="inlineStr">
        <is>
          <t>status</t>
        </is>
      </c>
      <c r="B8" t="inlineStr">
        <is>
          <t>Source CSV column</t>
        </is>
      </c>
    </row>
    <row r="9">
      <c r="A9" t="inlineStr">
        <is>
          <t>Source note</t>
        </is>
      </c>
      <c r="B9" t="inlineStr">
        <is>
          <t>messy-billing-exceptions.csv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Review hour floor</t>
        </is>
      </c>
      <c r="B2" t="n">
        <v>0</v>
      </c>
    </row>
    <row r="3">
      <c r="A3" t="inlineStr">
        <is>
          <t>Negative amount flag</t>
        </is>
      </c>
      <c r="B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invoice_id</t>
        </is>
      </c>
      <c r="B1" s="1" t="inlineStr">
        <is>
          <t>region</t>
        </is>
      </c>
      <c r="C1" s="1" t="inlineStr">
        <is>
          <t>invoice_date</t>
        </is>
      </c>
      <c r="D1" s="1" t="inlineStr">
        <is>
          <t>amount</t>
        </is>
      </c>
      <c r="E1" s="1" t="inlineStr">
        <is>
          <t>exception_type</t>
        </is>
      </c>
      <c r="F1" s="1" t="inlineStr">
        <is>
          <t>review_hours</t>
        </is>
      </c>
      <c r="G1" s="1" t="inlineStr">
        <is>
          <t>status</t>
        </is>
      </c>
      <c r="H1" s="1" t="inlineStr">
        <is>
          <t>normalized_date</t>
        </is>
      </c>
      <c r="I1" s="1" t="inlineStr">
        <is>
          <t>parsed_amount</t>
        </is>
      </c>
      <c r="J1" s="1" t="inlineStr">
        <is>
          <t>duplicate_flag</t>
        </is>
      </c>
      <c r="K1" s="1" t="inlineStr">
        <is>
          <t>quality_flag</t>
        </is>
      </c>
    </row>
    <row r="2">
      <c r="A2" t="inlineStr">
        <is>
          <t>INV-1001</t>
        </is>
      </c>
      <c r="B2" t="inlineStr">
        <is>
          <t>West</t>
        </is>
      </c>
      <c r="C2" t="inlineStr">
        <is>
          <t>2026-04-02</t>
        </is>
      </c>
      <c r="D2" t="inlineStr">
        <is>
          <t>$1,240.50</t>
        </is>
      </c>
      <c r="E2" t="inlineStr">
        <is>
          <t>Tax Code</t>
        </is>
      </c>
      <c r="F2" t="inlineStr">
        <is>
          <t>2.5</t>
        </is>
      </c>
      <c r="G2" t="inlineStr">
        <is>
          <t>open</t>
        </is>
      </c>
      <c r="H2" t="inlineStr">
        <is>
          <t>2026-04-02</t>
        </is>
      </c>
      <c r="I2" t="n">
        <v>1240.5</v>
      </c>
      <c r="J2" t="inlineStr"/>
      <c r="K2" t="inlineStr"/>
    </row>
    <row r="3">
      <c r="A3" t="inlineStr">
        <is>
          <t>INV-1002</t>
        </is>
      </c>
      <c r="B3" t="inlineStr">
        <is>
          <t>East</t>
        </is>
      </c>
      <c r="C3" t="inlineStr">
        <is>
          <t>04/03/2026</t>
        </is>
      </c>
      <c r="D3" t="inlineStr">
        <is>
          <t>980.00</t>
        </is>
      </c>
      <c r="E3" t="inlineStr">
        <is>
          <t>Missing PO</t>
        </is>
      </c>
      <c r="F3" t="inlineStr">
        <is>
          <t>1.25</t>
        </is>
      </c>
      <c r="G3" t="inlineStr">
        <is>
          <t>closed</t>
        </is>
      </c>
      <c r="H3" t="inlineStr">
        <is>
          <t>2026-04-03</t>
        </is>
      </c>
      <c r="I3" t="n">
        <v>980</v>
      </c>
      <c r="J3" t="inlineStr"/>
      <c r="K3" t="inlineStr"/>
    </row>
    <row r="4">
      <c r="A4" t="inlineStr">
        <is>
          <t>INV-1003</t>
        </is>
      </c>
      <c r="B4" t="inlineStr">
        <is>
          <t>West</t>
        </is>
      </c>
      <c r="C4" t="inlineStr">
        <is>
          <t>2026/04/05</t>
        </is>
      </c>
      <c r="D4" t="inlineStr">
        <is>
          <t>$1,240.50</t>
        </is>
      </c>
      <c r="E4" t="inlineStr">
        <is>
          <t>Tax Code</t>
        </is>
      </c>
      <c r="F4" t="inlineStr">
        <is>
          <t>2.0</t>
        </is>
      </c>
      <c r="G4" t="inlineStr">
        <is>
          <t>open</t>
        </is>
      </c>
      <c r="H4" t="inlineStr">
        <is>
          <t>2026-04-05</t>
        </is>
      </c>
      <c r="I4" t="n">
        <v>1240.5</v>
      </c>
      <c r="J4" t="inlineStr"/>
      <c r="K4" t="inlineStr"/>
    </row>
    <row r="5">
      <c r="A5" t="inlineStr">
        <is>
          <t>INV-1003</t>
        </is>
      </c>
      <c r="B5" t="inlineStr">
        <is>
          <t>West</t>
        </is>
      </c>
      <c r="C5" t="inlineStr">
        <is>
          <t>2026/04/05</t>
        </is>
      </c>
      <c r="D5" t="inlineStr">
        <is>
          <t>$1,240.50</t>
        </is>
      </c>
      <c r="E5" t="inlineStr">
        <is>
          <t>Tax Code</t>
        </is>
      </c>
      <c r="F5" t="inlineStr">
        <is>
          <t>2.0</t>
        </is>
      </c>
      <c r="G5" t="inlineStr">
        <is>
          <t>open</t>
        </is>
      </c>
      <c r="H5" t="inlineStr">
        <is>
          <t>2026-04-05</t>
        </is>
      </c>
      <c r="I5" t="n">
        <v>1240.5</v>
      </c>
      <c r="J5" t="inlineStr">
        <is>
          <t>duplicate</t>
        </is>
      </c>
      <c r="K5" t="inlineStr">
        <is>
          <t>duplicate</t>
        </is>
      </c>
    </row>
    <row r="6">
      <c r="A6" t="inlineStr">
        <is>
          <t>INV-1004</t>
        </is>
      </c>
      <c r="B6" t="inlineStr">
        <is>
          <t>South</t>
        </is>
      </c>
      <c r="C6" t="inlineStr">
        <is>
          <t>not available</t>
        </is>
      </c>
      <c r="D6" t="inlineStr"/>
      <c r="E6" t="inlineStr">
        <is>
          <t>Address Normalization</t>
        </is>
      </c>
      <c r="F6" t="inlineStr"/>
      <c r="G6" t="inlineStr">
        <is>
          <t>open</t>
        </is>
      </c>
      <c r="H6" t="inlineStr"/>
      <c r="J6" t="inlineStr"/>
      <c r="K6" t="inlineStr">
        <is>
          <t>missing-date; missing-amount; missing-hours</t>
        </is>
      </c>
    </row>
    <row r="7">
      <c r="A7" t="inlineStr">
        <is>
          <t>INV-1005</t>
        </is>
      </c>
      <c r="B7" t="inlineStr">
        <is>
          <t>North</t>
        </is>
      </c>
      <c r="C7" t="inlineStr">
        <is>
          <t>2026-06-30</t>
        </is>
      </c>
      <c r="D7" t="inlineStr">
        <is>
          <t>12,400</t>
        </is>
      </c>
      <c r="E7" t="inlineStr">
        <is>
          <t>Missing PO</t>
        </is>
      </c>
      <c r="F7" t="inlineStr">
        <is>
          <t>7.5</t>
        </is>
      </c>
      <c r="G7" t="inlineStr">
        <is>
          <t>escalated</t>
        </is>
      </c>
      <c r="H7" t="inlineStr">
        <is>
          <t>2026-06-30</t>
        </is>
      </c>
      <c r="I7" t="n">
        <v>12400</v>
      </c>
      <c r="J7" t="inlineStr"/>
      <c r="K7" t="inlineStr"/>
    </row>
    <row r="8">
      <c r="A8" t="inlineStr">
        <is>
          <t>INV-1006</t>
        </is>
      </c>
      <c r="B8" t="inlineStr">
        <is>
          <t>West</t>
        </is>
      </c>
      <c r="C8" t="inlineStr">
        <is>
          <t>2026-06-30</t>
        </is>
      </c>
      <c r="D8" t="inlineStr">
        <is>
          <t>-45.00</t>
        </is>
      </c>
      <c r="E8" t="inlineStr">
        <is>
          <t>Tax Code</t>
        </is>
      </c>
      <c r="F8" t="inlineStr">
        <is>
          <t>0.5</t>
        </is>
      </c>
      <c r="G8" t="inlineStr">
        <is>
          <t>closed</t>
        </is>
      </c>
      <c r="H8" t="inlineStr">
        <is>
          <t>2026-06-30</t>
        </is>
      </c>
      <c r="I8" t="n">
        <v>-45</v>
      </c>
      <c r="J8" t="inlineStr"/>
      <c r="K8" t="inlineStr">
        <is>
          <t>negative-amount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Raw row count</t>
        </is>
      </c>
      <c r="B2">
        <f>COUNTA(Raw!A2:A8)</f>
        <v/>
      </c>
    </row>
    <row r="3">
      <c r="A3" t="inlineStr">
        <is>
          <t>Duplicate invoices</t>
        </is>
      </c>
      <c r="B3">
        <f>COUNTIFS(Model!J2:J8,"duplicate")</f>
        <v/>
      </c>
    </row>
    <row r="4">
      <c r="A4" t="inlineStr">
        <is>
          <t>Total amount trace</t>
        </is>
      </c>
      <c r="B4">
        <f>SUM(Model!I2:I8)</f>
        <v/>
      </c>
    </row>
    <row r="5">
      <c r="A5" t="inlineStr">
        <is>
          <t>Open plus escalated</t>
        </is>
      </c>
      <c r="B5">
        <f>COUNTIFS(Model!G2:G8,"open")+COUNTIFS(Model!G2:G8,"escalated")</f>
        <v/>
      </c>
    </row>
    <row r="6">
      <c r="A6" t="inlineStr">
        <is>
          <t>West tax amount</t>
        </is>
      </c>
      <c r="B6">
        <f>SUMIFS(Model!I2:I8,Model!B2:B8,"West",Model!E2:E8,"Tax Code")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2026-05-16T14:38:06Z</dcterms:created>
  <dcterms:modified xmlns:dcterms="http://purl.org/dc/terms/" xmlns:xsi="http://www.w3.org/2001/XMLSchema-instance" xsi:type="dcterms:W3CDTF">2026-05-16T14:38:06Z</dcterms:modified>
</cp:coreProperties>
</file>